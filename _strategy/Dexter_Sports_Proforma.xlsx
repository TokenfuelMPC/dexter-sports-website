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3"/>
    <sheet name="Inputs" sheetId="2" state="visible" r:id="rId4"/>
    <sheet name="Assumptions" sheetId="3" state="visible" r:id="rId5"/>
    <sheet name="Proforma P&amp;L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<sst xmlns="http://schemas.openxmlformats.org/spreadsheetml/2006/main" count="207" uniqueCount="147">
  <si>
    <t xml:space="preserve">DEXTER SPORTS CO.</t>
  </si>
  <si>
    <t xml:space="preserve">Scenario Selector — Base vs. Upside</t>
  </si>
  <si>
    <t xml:space="preserve">Type 1 for Base or 2 for Upside in the gold cell. Inputs and Proforma update automatically.</t>
  </si>
  <si>
    <t xml:space="preserve">SELECTED SCENARIO (1=Base, 2=Upside):</t>
  </si>
  <si>
    <t xml:space="preserve">Placement Driver</t>
  </si>
  <si>
    <t xml:space="preserve">Base</t>
  </si>
  <si>
    <t xml:space="preserve">Upside</t>
  </si>
  <si>
    <t xml:space="preserve">Selected →</t>
  </si>
  <si>
    <t xml:space="preserve">Placements — Year 1</t>
  </si>
  <si>
    <t xml:space="preserve">Placement growth rate (Y/Y)</t>
  </si>
  <si>
    <t xml:space="preserve">Avg. coach salary placed</t>
  </si>
  <si>
    <t xml:space="preserve">Salary growth rate (Y/Y)</t>
  </si>
  <si>
    <t xml:space="preserve">Placement fee (% of salary)</t>
  </si>
  <si>
    <t xml:space="preserve">Collection rate</t>
  </si>
  <si>
    <t xml:space="preserve">Travel &amp; entertainment / placement</t>
  </si>
  <si>
    <t xml:space="preserve">Team compensation — Year 1</t>
  </si>
  <si>
    <t xml:space="preserve">Minimum fee per placement (floor)</t>
  </si>
  <si>
    <t xml:space="preserve">Base = measured volume. Upside = more placements + modestly higher salary.</t>
  </si>
  <si>
    <t xml:space="preserve">Non-placement drivers (sponsorship, search desk, G&amp;A, expansions) are set on the Inputs tab, shared across scenarios.</t>
  </si>
  <si>
    <t xml:space="preserve">Key Data Inputs — Kim's Control Panel</t>
  </si>
  <si>
    <t xml:space="preserve">Gold cells = edit here. Green cells (placement drivers) are set on the Scenarios tab.</t>
  </si>
  <si>
    <t xml:space="preserve">Input</t>
  </si>
  <si>
    <t xml:space="preserve">Value</t>
  </si>
  <si>
    <t xml:space="preserve">Guidance</t>
  </si>
  <si>
    <t xml:space="preserve">REVENUE DRIVERS — COACH PLACEMENT</t>
  </si>
  <si>
    <t xml:space="preserve">Set on Scenarios tab (Base/Upside)</t>
  </si>
  <si>
    <t xml:space="preserve">Set on Scenarios tab</t>
  </si>
  <si>
    <t xml:space="preserve">Set on Scenarios tab; ~3% market rate</t>
  </si>
  <si>
    <t xml:space="preserve">MAX(3% of salary, floor) per hire — floor binds at these salaries</t>
  </si>
  <si>
    <t xml:space="preserve">COST DRIVERS — CORE</t>
  </si>
  <si>
    <t xml:space="preserve">Sponsorship spend — Year 1</t>
  </si>
  <si>
    <t xml:space="preserve">Event/athlete sponsorships, Year 1</t>
  </si>
  <si>
    <t xml:space="preserve">Sponsorship growth (Y/Y)</t>
  </si>
  <si>
    <t xml:space="preserve">Annual growth</t>
  </si>
  <si>
    <t xml:space="preserve">Marketing &amp; BD (% of revenue)</t>
  </si>
  <si>
    <t xml:space="preserve">Brand, outreach, content</t>
  </si>
  <si>
    <t xml:space="preserve">Staff comp growth (Y/Y)</t>
  </si>
  <si>
    <t xml:space="preserve">Annual comp growth</t>
  </si>
  <si>
    <t xml:space="preserve">G&amp;A / overhead — Year 1</t>
  </si>
  <si>
    <t xml:space="preserve">Legal, software, insurance, admin</t>
  </si>
  <si>
    <t xml:space="preserve">G&amp;A growth (Y/Y)</t>
  </si>
  <si>
    <t xml:space="preserve">Annual overhead growth</t>
  </si>
  <si>
    <t xml:space="preserve">Effective tax rate</t>
  </si>
  <si>
    <t xml:space="preserve">Blended income tax rate</t>
  </si>
  <si>
    <t xml:space="preserve">EXPANSION 3 — SCHOOL-PAID SEARCH DESK</t>
  </si>
  <si>
    <t xml:space="preserve">Search desk active? (1=on, 0=off)</t>
  </si>
  <si>
    <t xml:space="preserve">Flat-fee searches for mid-major/D-II/D-III, paid by schools</t>
  </si>
  <si>
    <t xml:space="preserve">Search — launch year (1-5)</t>
  </si>
  <si>
    <t xml:space="preserve">Year the search desk begins</t>
  </si>
  <si>
    <t xml:space="preserve">Searches — launch year</t>
  </si>
  <si>
    <t xml:space="preserve"># of school-paid searches at launch</t>
  </si>
  <si>
    <t xml:space="preserve">Search growth (Y/Y)</t>
  </si>
  <si>
    <t xml:space="preserve">Annual growth in searches</t>
  </si>
  <si>
    <t xml:space="preserve">Avg. fee per search</t>
  </si>
  <si>
    <t xml:space="preserve">Flat fee; priced below big firms ($25K–120K)</t>
  </si>
  <si>
    <t xml:space="preserve">Search collection rate</t>
  </si>
  <si>
    <t xml:space="preserve">% of search fees collected</t>
  </si>
  <si>
    <t xml:space="preserve">Search cost / engagement</t>
  </si>
  <si>
    <t xml:space="preserve">Candidate sourcing, travel per search</t>
  </si>
  <si>
    <t xml:space="preserve">EXPANSION 1 — NFLPA AGENT REP (placeholder)</t>
  </si>
  <si>
    <t xml:space="preserve">NFLPA line active? (1=on, 0=off)</t>
  </si>
  <si>
    <t xml:space="preserve">Toggle on once Kim is NFLPA certified</t>
  </si>
  <si>
    <t xml:space="preserve">NFLPA — launch year (1-5)</t>
  </si>
  <si>
    <t xml:space="preserve">Year service goes live</t>
  </si>
  <si>
    <t xml:space="preserve">NFLPA — clients at launch</t>
  </si>
  <si>
    <t xml:space="preserve">NFL players represented at launch</t>
  </si>
  <si>
    <t xml:space="preserve">NFLPA — client growth (Y/Y)</t>
  </si>
  <si>
    <t xml:space="preserve">Annual roster growth</t>
  </si>
  <si>
    <t xml:space="preserve">NFLPA — avg. contract value</t>
  </si>
  <si>
    <t xml:space="preserve">Avg annual contract represented</t>
  </si>
  <si>
    <t xml:space="preserve">NFLPA — commission (% contract)</t>
  </si>
  <si>
    <t xml:space="preserve">NFLPA cap is 3%</t>
  </si>
  <si>
    <t xml:space="preserve">NFLPA — collection rate</t>
  </si>
  <si>
    <t xml:space="preserve">% of commissions collected</t>
  </si>
  <si>
    <t xml:space="preserve">NFLPA — cost / client</t>
  </si>
  <si>
    <t xml:space="preserve">Travel, compliance, servicing</t>
  </si>
  <si>
    <t xml:space="preserve">EXPANSION 2 — NIL SERVICES (NC/SC HS athletes)</t>
  </si>
  <si>
    <t xml:space="preserve">NIL line active? (1=on, 0=off)</t>
  </si>
  <si>
    <t xml:space="preserve">Toggle on when NIL service launches</t>
  </si>
  <si>
    <t xml:space="preserve">NIL — launch year (1-5)</t>
  </si>
  <si>
    <t xml:space="preserve">NIL — athletes at launch</t>
  </si>
  <si>
    <t xml:space="preserve">NC/SC HS athletes at launch</t>
  </si>
  <si>
    <t xml:space="preserve">NIL — athlete growth (Y/Y)</t>
  </si>
  <si>
    <t xml:space="preserve">Annual growth in athletes</t>
  </si>
  <si>
    <t xml:space="preserve">NIL — avg. deal value / athlete / yr</t>
  </si>
  <si>
    <t xml:space="preserve">Blended annual NIL earnings</t>
  </si>
  <si>
    <t xml:space="preserve">NIL — service fee (% of deal)</t>
  </si>
  <si>
    <t xml:space="preserve">Commission on facilitated deals</t>
  </si>
  <si>
    <t xml:space="preserve">NIL — collection rate</t>
  </si>
  <si>
    <t xml:space="preserve">% of fees collected</t>
  </si>
  <si>
    <t xml:space="preserve">NIL — platform/compliance / athlete</t>
  </si>
  <si>
    <t xml:space="preserve">Per-athlete software/compliance cost</t>
  </si>
  <si>
    <t xml:space="preserve">NIL — fixed cost / year</t>
  </si>
  <si>
    <t xml:space="preserve">Staff/tools for NIL vertical</t>
  </si>
  <si>
    <t xml:space="preserve">Assumptions (driven by Inputs tab)</t>
  </si>
  <si>
    <t xml:space="preserve">→ Edit values on the Inputs tab, not here.</t>
  </si>
  <si>
    <t xml:space="preserve">INPUT</t>
  </si>
  <si>
    <t xml:space="preserve">Notes</t>
  </si>
  <si>
    <t xml:space="preserve">EXPANSION 1 — NFLPA AGENT REP</t>
  </si>
  <si>
    <t xml:space="preserve">EXPANSION 2 — NIL SERVICES (NC/SC HS)</t>
  </si>
  <si>
    <t xml:space="preserve">DEXTER SPORTS CO. — 5-Year Proforma P&amp;L</t>
  </si>
  <si>
    <t xml:space="preserve">Coach placement + school-paid search desk, NFLPA agent rep &amp; NC/SC NIL (all toggleable)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</si>
  <si>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</si>
  <si>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</si>
  <si>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</si>
  <si>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</si>
  <si>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</si>
  <si>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</si>
  <si>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METRICS — COACH PLACEMENT</t>
  </si>
  <si>
    <t xml:space="preserve">Coaches placed</t>
  </si>
  <si>
    <t xml:space="preserve">Avg. salary placed</t>
  </si>
  <si>
    <t xml:space="preserve">REVENUE</t>
  </si>
  <si>
    <t xml:space="preserve">Coach placement fees</t>
  </si>
  <si>
    <t xml:space="preserve">Searches (active yrs)</t>
  </si>
  <si>
    <t xml:space="preserve">School-paid search fees</t>
  </si>
  <si>
    <t xml:space="preserve">NFLPA — clients (active yrs)</t>
  </si>
  <si>
    <t xml:space="preserve">NFLPA agent commissions</t>
  </si>
  <si>
    <t xml:space="preserve">NIL — athletes (active yrs)</t>
  </si>
  <si>
    <t xml:space="preserve">NIL service fees (NC/SC HS)</t>
  </si>
  <si>
    <t xml:space="preserve">Total net revenue</t>
  </si>
  <si>
    <t xml:space="preserve">OPERATING EXPENSES</t>
  </si>
  <si>
    <t xml:space="preserve">Travel &amp; entertainment</t>
  </si>
  <si>
    <t xml:space="preserve">Sponsorships</t>
  </si>
  <si>
    <t xml:space="preserve">Marketing &amp; BD</t>
  </si>
  <si>
    <t xml:space="preserve">Team compensation</t>
  </si>
  <si>
    <t xml:space="preserve">G&amp;A / overhead</t>
  </si>
  <si>
    <t xml:space="preserve">Search desk — engagement cost</t>
  </si>
  <si>
    <t xml:space="preserve">NFLPA — servicing cost</t>
  </si>
  <si>
    <t xml:space="preserve">NIL — platform + fixed cost</t>
  </si>
  <si>
    <t xml:space="preserve">Total operating expenses</t>
  </si>
  <si>
    <t xml:space="preserve">PROFITABILITY</t>
  </si>
  <si>
    <t xml:space="preserve">EBITDA</t>
  </si>
  <si>
    <t xml:space="preserve">EBITDA margin</t>
  </si>
  <si>
    <t xml:space="preserve">Income tax</t>
  </si>
  <si>
    <t xml:space="preserve">Net income</t>
  </si>
  <si>
    <t xml:space="preserve">Executive Summary — Snapshot</t>
  </si>
  <si>
    <t xml:space="preserve">Base case shown with expansions OFF. Toggle search desk, NFLPA &amp; NIL on the Inputs tab.</t>
  </si>
  <si>
    <t xml:space="preserve">Year 5 total net revenue</t>
  </si>
  <si>
    <t xml:space="preserve">Year 5 EBITDA</t>
  </si>
  <si>
    <t xml:space="preserve">Year 5 EBITDA margin</t>
  </si>
  <si>
    <t xml:space="preserve">Year 5 net income</t>
  </si>
  <si>
    <t xml:space="preserve">Coaches placed (Y5)</t>
  </si>
  <si>
    <t xml:space="preserve">Cumulative net income (Y1–Y5)</t>
  </si>
  <si>
    <t xml:space="preserve">Rev — placement (Y5)</t>
  </si>
  <si>
    <t xml:space="preserve">Rev — search desk (Y5)</t>
  </si>
  <si>
    <t xml:space="preserve">Rev — NFLPA (Y5)</t>
  </si>
  <si>
    <t xml:space="preserve">Rev — NIL (Y5)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</si>
</sst>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\$#,##0;&quot;($&quot;#,##0\);\-"/>
    <numFmt numFmtId="168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i val="true"/>
      <sz val="12"/>
      <color rgb="FFC9A22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6E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A2E37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color rgb="FF2E6E6A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i val="true"/>
      <sz val="9"/>
      <color rgb="FF2E6E6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1F2A44"/>
      <name val="Arial"/>
      <family val="0"/>
      <charset val="1"/>
    </font>
    <font>
      <i val="true"/>
      <sz val="10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1"/>
      <color rgb="FF1F2A4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2A2E37"/>
      </patternFill>
    </fill>
    <fill>
      <patternFill patternType="solid">
        <fgColor rgb="FFFFF3B0"/>
        <bgColor rgb="FFF4F6F8"/>
      </patternFill>
    </fill>
    <fill>
      <patternFill patternType="solid">
        <fgColor rgb="FFC9A227"/>
        <bgColor rgb="FF99CC00"/>
      </patternFill>
    </fill>
    <fill>
      <patternFill patternType="solid">
        <fgColor rgb="FFF4F6F8"/>
        <bgColor rgb="FFFFFFFF"/>
      </patternFill>
    </fill>
    <fill>
      <patternFill patternType="solid">
        <fgColor rgb="FF2E6E6A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 diagonalUp="false" diagonalDown="false"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6A"/>
      <rgbColor rgb="FFBFBFBF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D5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B7280"/>
      <rgbColor rgb="FF969696"/>
      <rgbColor rgb="FF1F2A44"/>
      <rgbColor rgb="FF339966"/>
      <rgbColor rgb="FF003300"/>
      <rgbColor rgb="FF333300"/>
      <rgbColor rgb="FF993300"/>
      <rgbColor rgb="FF993366"/>
      <rgbColor rgb="FF333399"/>
      <rgbColor rgb="FF2A2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2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6.15" hidden="false" customHeight="false" outlineLevel="0" collapsed="false">
      <c r="A5" s="4" t="s">
        <v>3</v>
      </c>
      <c r="B5" s="5" t="n">
        <v>1</v>
      </c>
      <c r="C5" s="6" t="str">
        <f aca="false">IF(B5=2,"▶ UPSIDE CASE ACTIVE","▶ BASE CASE ACTIVE")</f>
        <v>▶ BASE CASE ACTIVE</v>
      </c>
    </row>
    <row r="7" customFormat="false" ht="15" hidden="false" customHeight="false" outlineLevel="0" collapsed="false">
      <c r="A7" s="7" t="s">
        <v>4</v>
      </c>
      <c r="B7" s="8" t="s">
        <v>5</v>
      </c>
      <c r="C7" s="8" t="s">
        <v>6</v>
      </c>
      <c r="D7" s="8" t="s">
        <v>7</v>
      </c>
    </row>
    <row r="8" customFormat="false" ht="15" hidden="false" customHeight="false" outlineLevel="0" collapsed="false">
      <c r="A8" s="9" t="s">
        <v>8</v>
      </c>
      <c r="B8" s="10" t="n">
        <v>20</v>
      </c>
      <c r="C8" s="10" t="n">
        <v>30</v>
      </c>
      <c r="D8" s="11" t="n">
        <f aca="false">IF($B$5=2,C8,B8)</f>
        <v>20</v>
      </c>
    </row>
    <row r="9" customFormat="false" ht="15" hidden="false" customHeight="false" outlineLevel="0" collapsed="false">
      <c r="A9" s="9" t="s">
        <v>9</v>
      </c>
      <c r="B9" s="12" t="n">
        <v>0.15</v>
      </c>
      <c r="C9" s="12" t="n">
        <v>0.2</v>
      </c>
      <c r="D9" s="13" t="n">
        <f aca="false">IF($B$5=2,C9,B9)</f>
        <v>0.15</v>
      </c>
    </row>
    <row r="10" customFormat="false" ht="15" hidden="false" customHeight="false" outlineLevel="0" collapsed="false">
      <c r="A10" s="9" t="s">
        <v>10</v>
      </c>
      <c r="B10" s="14" t="n">
        <v>120000</v>
      </c>
      <c r="C10" s="14" t="n">
        <v>150000</v>
      </c>
      <c r="D10" s="15" t="n">
        <f aca="false">IF($B$5=2,C10,B10)</f>
        <v>120000</v>
      </c>
    </row>
    <row r="11" customFormat="false" ht="15" hidden="false" customHeight="false" outlineLevel="0" collapsed="false">
      <c r="A11" s="9" t="s">
        <v>11</v>
      </c>
      <c r="B11" s="12" t="n">
        <v>0.03</v>
      </c>
      <c r="C11" s="12" t="n">
        <v>0.04</v>
      </c>
      <c r="D11" s="13" t="n">
        <f aca="false">IF($B$5=2,C11,B11)</f>
        <v>0.03</v>
      </c>
    </row>
    <row r="12" customFormat="false" ht="15" hidden="false" customHeight="false" outlineLevel="0" collapsed="false">
      <c r="A12" s="9" t="s">
        <v>12</v>
      </c>
      <c r="B12" s="12" t="n">
        <v>0.03</v>
      </c>
      <c r="C12" s="12" t="n">
        <v>0.03</v>
      </c>
      <c r="D12" s="13" t="n">
        <f aca="false">IF($B$5=2,C12,B12)</f>
        <v>0.03</v>
      </c>
    </row>
    <row r="13" customFormat="false" ht="15" hidden="false" customHeight="false" outlineLevel="0" collapsed="false">
      <c r="A13" s="9" t="s">
        <v>13</v>
      </c>
      <c r="B13" s="12" t="n">
        <v>0.95</v>
      </c>
      <c r="C13" s="12" t="n">
        <v>0.95</v>
      </c>
      <c r="D13" s="13" t="n">
        <f aca="false">IF($B$5=2,C13,B13)</f>
        <v>0.95</v>
      </c>
    </row>
    <row r="14" customFormat="false" ht="15" hidden="false" customHeight="false" outlineLevel="0" collapsed="false">
      <c r="A14" s="9" t="s">
        <v>14</v>
      </c>
      <c r="B14" s="14" t="n">
        <v>2500</v>
      </c>
      <c r="C14" s="14" t="n">
        <v>2500</v>
      </c>
      <c r="D14" s="15" t="n">
        <f aca="false">IF($B$5=2,C14,B14)</f>
        <v>2500</v>
      </c>
    </row>
    <row r="15" customFormat="false" ht="15" hidden="false" customHeight="false" outlineLevel="0" collapsed="false">
      <c r="A15" s="9" t="s">
        <v>15</v>
      </c>
      <c r="B15" s="14" t="n">
        <v>150000</v>
      </c>
      <c r="C15" s="14" t="n">
        <v>220000</v>
      </c>
      <c r="D15" s="15" t="n">
        <f aca="false">IF($B$5=2,C15,B15)</f>
        <v>150000</v>
      </c>
    </row>
    <row r="16" customFormat="false" ht="15" hidden="false" customHeight="false" outlineLevel="0" collapsed="false">
      <c r="A16" s="9" t="s">
        <v>16</v>
      </c>
      <c r="B16" s="14" t="n">
        <v>6000</v>
      </c>
      <c r="C16" s="14" t="n">
        <v>6000</v>
      </c>
      <c r="D16" s="15" t="n">
        <f aca="false">IF($B$5=2,C16,B16)</f>
        <v>6000</v>
      </c>
    </row>
    <row r="18" customFormat="false" ht="15" hidden="false" customHeight="false" outlineLevel="0" collapsed="false">
      <c r="A18" s="3" t="s">
        <v>17</v>
      </c>
    </row>
    <row r="19" customFormat="false" ht="15" hidden="false" customHeight="false" outlineLevel="0" collapsed="false">
      <c r="A19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5"/>
    <col collapsed="false" customWidth="true" hidden="false" outlineLevel="0" max="3" min="3" style="0" width="5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3" t="s">
        <v>20</v>
      </c>
    </row>
    <row r="5" customFormat="false" ht="19.5" hidden="false" customHeight="true" outlineLevel="0" collapsed="false">
      <c r="A5" s="16" t="s">
        <v>21</v>
      </c>
      <c r="B5" s="16" t="s">
        <v>22</v>
      </c>
      <c r="C5" s="16" t="s">
        <v>23</v>
      </c>
    </row>
    <row r="6" customFormat="false" ht="15" hidden="false" customHeight="false" outlineLevel="0" collapsed="false">
      <c r="A6" s="17" t="s">
        <v>24</v>
      </c>
      <c r="B6" s="18"/>
      <c r="C6" s="18"/>
    </row>
    <row r="7" customFormat="false" ht="15" hidden="false" customHeight="false" outlineLevel="0" collapsed="false">
      <c r="A7" s="19" t="s">
        <v>8</v>
      </c>
      <c r="B7" s="20" t="n">
        <f aca="false">Scenarios!D8</f>
        <v>20</v>
      </c>
      <c r="C7" s="21" t="s">
        <v>25</v>
      </c>
    </row>
    <row r="8" customFormat="false" ht="15" hidden="false" customHeight="false" outlineLevel="0" collapsed="false">
      <c r="A8" s="19" t="s">
        <v>9</v>
      </c>
      <c r="B8" s="22" t="n">
        <f aca="false">Scenarios!D9</f>
        <v>0.15</v>
      </c>
      <c r="C8" s="21" t="s">
        <v>26</v>
      </c>
    </row>
    <row r="9" customFormat="false" ht="15" hidden="false" customHeight="false" outlineLevel="0" collapsed="false">
      <c r="A9" s="19" t="s">
        <v>10</v>
      </c>
      <c r="B9" s="23" t="n">
        <f aca="false">Scenarios!D10</f>
        <v>120000</v>
      </c>
      <c r="C9" s="21" t="s">
        <v>26</v>
      </c>
    </row>
    <row r="10" customFormat="false" ht="15" hidden="false" customHeight="false" outlineLevel="0" collapsed="false">
      <c r="A10" s="19" t="s">
        <v>11</v>
      </c>
      <c r="B10" s="22" t="n">
        <f aca="false">Scenarios!D11</f>
        <v>0.03</v>
      </c>
      <c r="C10" s="21" t="s">
        <v>26</v>
      </c>
    </row>
    <row r="11" customFormat="false" ht="15" hidden="false" customHeight="false" outlineLevel="0" collapsed="false">
      <c r="A11" s="19" t="s">
        <v>12</v>
      </c>
      <c r="B11" s="22" t="n">
        <f aca="false">Scenarios!D12</f>
        <v>0.03</v>
      </c>
      <c r="C11" s="21" t="s">
        <v>27</v>
      </c>
    </row>
    <row r="12" customFormat="false" ht="15" hidden="false" customHeight="false" outlineLevel="0" collapsed="false">
      <c r="A12" s="19" t="s">
        <v>13</v>
      </c>
      <c r="B12" s="22" t="n">
        <f aca="false">Scenarios!D13</f>
        <v>0.95</v>
      </c>
      <c r="C12" s="21" t="s">
        <v>26</v>
      </c>
    </row>
    <row r="13" customFormat="false" ht="15" hidden="false" customHeight="false" outlineLevel="0" collapsed="false">
      <c r="A13" s="19" t="s">
        <v>16</v>
      </c>
      <c r="B13" s="24" t="n">
        <f aca="false">Scenarios!D16</f>
        <v>6000</v>
      </c>
      <c r="C13" s="21" t="s">
        <v>28</v>
      </c>
    </row>
    <row r="14" customFormat="false" ht="15" hidden="false" customHeight="false" outlineLevel="0" collapsed="false">
      <c r="A14" s="17" t="s">
        <v>29</v>
      </c>
      <c r="B14" s="18"/>
      <c r="C14" s="18"/>
    </row>
    <row r="15" customFormat="false" ht="15" hidden="false" customHeight="false" outlineLevel="0" collapsed="false">
      <c r="A15" s="19" t="s">
        <v>14</v>
      </c>
      <c r="B15" s="23" t="n">
        <f aca="false">Scenarios!D14</f>
        <v>2500</v>
      </c>
      <c r="C15" s="21" t="s">
        <v>26</v>
      </c>
    </row>
    <row r="16" customFormat="false" ht="15" hidden="false" customHeight="false" outlineLevel="0" collapsed="false">
      <c r="A16" s="19" t="s">
        <v>30</v>
      </c>
      <c r="B16" s="14" t="n">
        <v>40000</v>
      </c>
      <c r="C16" s="3" t="s">
        <v>31</v>
      </c>
    </row>
    <row r="17" customFormat="false" ht="15" hidden="false" customHeight="false" outlineLevel="0" collapsed="false">
      <c r="A17" s="19" t="s">
        <v>32</v>
      </c>
      <c r="B17" s="12" t="n">
        <v>0.15</v>
      </c>
      <c r="C17" s="3" t="s">
        <v>33</v>
      </c>
    </row>
    <row r="18" customFormat="false" ht="15" hidden="false" customHeight="false" outlineLevel="0" collapsed="false">
      <c r="A18" s="19" t="s">
        <v>34</v>
      </c>
      <c r="B18" s="12" t="n">
        <v>0.05</v>
      </c>
      <c r="C18" s="3" t="s">
        <v>35</v>
      </c>
    </row>
    <row r="19" customFormat="false" ht="15" hidden="false" customHeight="false" outlineLevel="0" collapsed="false">
      <c r="A19" s="19" t="s">
        <v>15</v>
      </c>
      <c r="B19" s="23" t="n">
        <f aca="false">Scenarios!D15</f>
        <v>150000</v>
      </c>
      <c r="C19" s="21" t="s">
        <v>26</v>
      </c>
    </row>
    <row r="20" customFormat="false" ht="15" hidden="false" customHeight="false" outlineLevel="0" collapsed="false">
      <c r="A20" s="19" t="s">
        <v>36</v>
      </c>
      <c r="B20" s="12" t="n">
        <v>0.1</v>
      </c>
      <c r="C20" s="3" t="s">
        <v>37</v>
      </c>
    </row>
    <row r="21" customFormat="false" ht="15" hidden="false" customHeight="false" outlineLevel="0" collapsed="false">
      <c r="A21" s="19" t="s">
        <v>38</v>
      </c>
      <c r="B21" s="14" t="n">
        <v>30000</v>
      </c>
      <c r="C21" s="3" t="s">
        <v>39</v>
      </c>
    </row>
    <row r="22" customFormat="false" ht="15" hidden="false" customHeight="false" outlineLevel="0" collapsed="false">
      <c r="A22" s="19" t="s">
        <v>40</v>
      </c>
      <c r="B22" s="12" t="n">
        <v>0.05</v>
      </c>
      <c r="C22" s="3" t="s">
        <v>41</v>
      </c>
    </row>
    <row r="23" customFormat="false" ht="15" hidden="false" customHeight="false" outlineLevel="0" collapsed="false">
      <c r="A23" s="19" t="s">
        <v>42</v>
      </c>
      <c r="B23" s="12" t="n">
        <v>0.21</v>
      </c>
      <c r="C23" s="3" t="s">
        <v>43</v>
      </c>
    </row>
    <row r="24" customFormat="false" ht="15" hidden="false" customHeight="false" outlineLevel="0" collapsed="false">
      <c r="A24" s="25" t="s">
        <v>44</v>
      </c>
      <c r="B24" s="26"/>
      <c r="C24" s="26"/>
    </row>
    <row r="25" customFormat="false" ht="15" hidden="false" customHeight="false" outlineLevel="0" collapsed="false">
      <c r="A25" s="19" t="s">
        <v>45</v>
      </c>
      <c r="B25" s="10" t="n">
        <v>0</v>
      </c>
      <c r="C25" s="3" t="s">
        <v>46</v>
      </c>
    </row>
    <row r="26" customFormat="false" ht="15" hidden="false" customHeight="false" outlineLevel="0" collapsed="false">
      <c r="A26" s="19" t="s">
        <v>47</v>
      </c>
      <c r="B26" s="10" t="n">
        <v>2</v>
      </c>
      <c r="C26" s="3" t="s">
        <v>48</v>
      </c>
    </row>
    <row r="27" customFormat="false" ht="15" hidden="false" customHeight="false" outlineLevel="0" collapsed="false">
      <c r="A27" s="19" t="s">
        <v>49</v>
      </c>
      <c r="B27" s="10" t="n">
        <v>4</v>
      </c>
      <c r="C27" s="3" t="s">
        <v>50</v>
      </c>
    </row>
    <row r="28" customFormat="false" ht="15" hidden="false" customHeight="false" outlineLevel="0" collapsed="false">
      <c r="A28" s="19" t="s">
        <v>51</v>
      </c>
      <c r="B28" s="12" t="n">
        <v>0.3</v>
      </c>
      <c r="C28" s="3" t="s">
        <v>52</v>
      </c>
    </row>
    <row r="29" customFormat="false" ht="15" hidden="false" customHeight="false" outlineLevel="0" collapsed="false">
      <c r="A29" s="19" t="s">
        <v>53</v>
      </c>
      <c r="B29" s="14" t="n">
        <v>15000</v>
      </c>
      <c r="C29" s="3" t="s">
        <v>54</v>
      </c>
    </row>
    <row r="30" customFormat="false" ht="15" hidden="false" customHeight="false" outlineLevel="0" collapsed="false">
      <c r="A30" s="19" t="s">
        <v>55</v>
      </c>
      <c r="B30" s="12" t="n">
        <v>0.95</v>
      </c>
      <c r="C30" s="3" t="s">
        <v>56</v>
      </c>
    </row>
    <row r="31" customFormat="false" ht="15" hidden="false" customHeight="false" outlineLevel="0" collapsed="false">
      <c r="A31" s="19" t="s">
        <v>57</v>
      </c>
      <c r="B31" s="14" t="n">
        <v>2000</v>
      </c>
      <c r="C31" s="3" t="s">
        <v>58</v>
      </c>
    </row>
    <row r="32" customFormat="false" ht="15" hidden="false" customHeight="false" outlineLevel="0" collapsed="false">
      <c r="A32" s="25" t="s">
        <v>59</v>
      </c>
      <c r="B32" s="26"/>
      <c r="C32" s="26"/>
    </row>
    <row r="33" customFormat="false" ht="15" hidden="false" customHeight="false" outlineLevel="0" collapsed="false">
      <c r="A33" s="19" t="s">
        <v>60</v>
      </c>
      <c r="B33" s="10" t="n">
        <v>0</v>
      </c>
      <c r="C33" s="3" t="s">
        <v>61</v>
      </c>
    </row>
    <row r="34" customFormat="false" ht="15" hidden="false" customHeight="false" outlineLevel="0" collapsed="false">
      <c r="A34" s="19" t="s">
        <v>62</v>
      </c>
      <c r="B34" s="10" t="n">
        <v>3</v>
      </c>
      <c r="C34" s="3" t="s">
        <v>63</v>
      </c>
    </row>
    <row r="35" customFormat="false" ht="15" hidden="false" customHeight="false" outlineLevel="0" collapsed="false">
      <c r="A35" s="19" t="s">
        <v>64</v>
      </c>
      <c r="B35" s="10" t="n">
        <v>3</v>
      </c>
      <c r="C35" s="3" t="s">
        <v>65</v>
      </c>
    </row>
    <row r="36" customFormat="false" ht="15" hidden="false" customHeight="false" outlineLevel="0" collapsed="false">
      <c r="A36" s="19" t="s">
        <v>66</v>
      </c>
      <c r="B36" s="12" t="n">
        <v>0.3</v>
      </c>
      <c r="C36" s="3" t="s">
        <v>67</v>
      </c>
    </row>
    <row r="37" customFormat="false" ht="15" hidden="false" customHeight="false" outlineLevel="0" collapsed="false">
      <c r="A37" s="19" t="s">
        <v>68</v>
      </c>
      <c r="B37" s="14" t="n">
        <v>1500000</v>
      </c>
      <c r="C37" s="3" t="s">
        <v>69</v>
      </c>
    </row>
    <row r="38" customFormat="false" ht="15" hidden="false" customHeight="false" outlineLevel="0" collapsed="false">
      <c r="A38" s="19" t="s">
        <v>70</v>
      </c>
      <c r="B38" s="12" t="n">
        <v>0.03</v>
      </c>
      <c r="C38" s="3" t="s">
        <v>71</v>
      </c>
    </row>
    <row r="39" customFormat="false" ht="15" hidden="false" customHeight="false" outlineLevel="0" collapsed="false">
      <c r="A39" s="19" t="s">
        <v>72</v>
      </c>
      <c r="B39" s="12" t="n">
        <v>0.95</v>
      </c>
      <c r="C39" s="3" t="s">
        <v>73</v>
      </c>
    </row>
    <row r="40" customFormat="false" ht="15" hidden="false" customHeight="false" outlineLevel="0" collapsed="false">
      <c r="A40" s="19" t="s">
        <v>74</v>
      </c>
      <c r="B40" s="14" t="n">
        <v>8000</v>
      </c>
      <c r="C40" s="3" t="s">
        <v>75</v>
      </c>
    </row>
    <row r="41" customFormat="false" ht="15" hidden="false" customHeight="false" outlineLevel="0" collapsed="false">
      <c r="A41" s="25" t="s">
        <v>76</v>
      </c>
      <c r="B41" s="26"/>
      <c r="C41" s="26"/>
    </row>
    <row r="42" customFormat="false" ht="15" hidden="false" customHeight="false" outlineLevel="0" collapsed="false">
      <c r="A42" s="19" t="s">
        <v>77</v>
      </c>
      <c r="B42" s="10" t="n">
        <v>0</v>
      </c>
      <c r="C42" s="3" t="s">
        <v>78</v>
      </c>
    </row>
    <row r="43" customFormat="false" ht="15" hidden="false" customHeight="false" outlineLevel="0" collapsed="false">
      <c r="A43" s="19" t="s">
        <v>79</v>
      </c>
      <c r="B43" s="10" t="n">
        <v>2</v>
      </c>
      <c r="C43" s="3" t="s">
        <v>63</v>
      </c>
    </row>
    <row r="44" customFormat="false" ht="15" hidden="false" customHeight="false" outlineLevel="0" collapsed="false">
      <c r="A44" s="19" t="s">
        <v>80</v>
      </c>
      <c r="B44" s="10" t="n">
        <v>25</v>
      </c>
      <c r="C44" s="3" t="s">
        <v>81</v>
      </c>
    </row>
    <row r="45" customFormat="false" ht="15" hidden="false" customHeight="false" outlineLevel="0" collapsed="false">
      <c r="A45" s="19" t="s">
        <v>82</v>
      </c>
      <c r="B45" s="12" t="n">
        <v>0.4</v>
      </c>
      <c r="C45" s="3" t="s">
        <v>83</v>
      </c>
    </row>
    <row r="46" customFormat="false" ht="15" hidden="false" customHeight="false" outlineLevel="0" collapsed="false">
      <c r="A46" s="19" t="s">
        <v>84</v>
      </c>
      <c r="B46" s="14" t="n">
        <v>3500</v>
      </c>
      <c r="C46" s="3" t="s">
        <v>85</v>
      </c>
    </row>
    <row r="47" customFormat="false" ht="15" hidden="false" customHeight="false" outlineLevel="0" collapsed="false">
      <c r="A47" s="19" t="s">
        <v>86</v>
      </c>
      <c r="B47" s="12" t="n">
        <v>0.15</v>
      </c>
      <c r="C47" s="3" t="s">
        <v>87</v>
      </c>
    </row>
    <row r="48" customFormat="false" ht="15" hidden="false" customHeight="false" outlineLevel="0" collapsed="false">
      <c r="A48" s="19" t="s">
        <v>88</v>
      </c>
      <c r="B48" s="12" t="n">
        <v>0.9</v>
      </c>
      <c r="C48" s="3" t="s">
        <v>89</v>
      </c>
    </row>
    <row r="49" customFormat="false" ht="15" hidden="false" customHeight="false" outlineLevel="0" collapsed="false">
      <c r="A49" s="19" t="s">
        <v>90</v>
      </c>
      <c r="B49" s="14" t="n">
        <v>250</v>
      </c>
      <c r="C49" s="3" t="s">
        <v>91</v>
      </c>
    </row>
    <row r="50" customFormat="false" ht="15" hidden="false" customHeight="false" outlineLevel="0" collapsed="false">
      <c r="A50" s="19" t="s">
        <v>92</v>
      </c>
      <c r="B50" s="14" t="n">
        <v>25000</v>
      </c>
      <c r="C50" s="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7" t="s">
        <v>94</v>
      </c>
      <c r="C1" s="28" t="s">
        <v>95</v>
      </c>
    </row>
    <row r="4" customFormat="false" ht="15" hidden="false" customHeight="false" outlineLevel="0" collapsed="false">
      <c r="A4" s="29" t="s">
        <v>96</v>
      </c>
      <c r="B4" s="29" t="s">
        <v>22</v>
      </c>
      <c r="C4" s="29" t="s">
        <v>97</v>
      </c>
    </row>
    <row r="5" customFormat="false" ht="15" hidden="false" customHeight="false" outlineLevel="0" collapsed="false">
      <c r="A5" s="17" t="s">
        <v>24</v>
      </c>
      <c r="B5" s="18"/>
      <c r="C5" s="18"/>
    </row>
    <row r="6" customFormat="false" ht="15" hidden="false" customHeight="false" outlineLevel="0" collapsed="false">
      <c r="A6" s="30" t="s">
        <v>8</v>
      </c>
      <c r="B6" s="31" t="n">
        <f aca="false">Inputs!B7</f>
        <v>20</v>
      </c>
    </row>
    <row r="7" customFormat="false" ht="15" hidden="false" customHeight="false" outlineLevel="0" collapsed="false">
      <c r="A7" s="30" t="s">
        <v>9</v>
      </c>
      <c r="B7" s="32" t="n">
        <f aca="false">Inputs!B8</f>
        <v>0.15</v>
      </c>
    </row>
    <row r="8" customFormat="false" ht="15" hidden="false" customHeight="false" outlineLevel="0" collapsed="false">
      <c r="A8" s="30" t="s">
        <v>10</v>
      </c>
      <c r="B8" s="33" t="n">
        <f aca="false">Inputs!B9</f>
        <v>120000</v>
      </c>
    </row>
    <row r="9" customFormat="false" ht="15" hidden="false" customHeight="false" outlineLevel="0" collapsed="false">
      <c r="A9" s="30" t="s">
        <v>11</v>
      </c>
      <c r="B9" s="32" t="n">
        <f aca="false">Inputs!B10</f>
        <v>0.03</v>
      </c>
    </row>
    <row r="10" customFormat="false" ht="15" hidden="false" customHeight="false" outlineLevel="0" collapsed="false">
      <c r="A10" s="30" t="s">
        <v>12</v>
      </c>
      <c r="B10" s="32" t="n">
        <f aca="false">Inputs!B11</f>
        <v>0.03</v>
      </c>
    </row>
    <row r="11" customFormat="false" ht="15" hidden="false" customHeight="false" outlineLevel="0" collapsed="false">
      <c r="A11" s="30" t="s">
        <v>13</v>
      </c>
      <c r="B11" s="32" t="n">
        <f aca="false">Inputs!B12</f>
        <v>0.95</v>
      </c>
    </row>
    <row r="12" customFormat="false" ht="15" hidden="false" customHeight="false" outlineLevel="0" collapsed="false">
      <c r="A12" s="30" t="s">
        <v>16</v>
      </c>
      <c r="B12" s="33" t="n">
        <f aca="false">Inputs!B13</f>
        <v>6000</v>
      </c>
    </row>
    <row r="13" customFormat="false" ht="15" hidden="false" customHeight="false" outlineLevel="0" collapsed="false">
      <c r="A13" s="17" t="s">
        <v>29</v>
      </c>
      <c r="B13" s="18"/>
      <c r="C13" s="18"/>
    </row>
    <row r="14" customFormat="false" ht="15" hidden="false" customHeight="false" outlineLevel="0" collapsed="false">
      <c r="A14" s="30" t="s">
        <v>14</v>
      </c>
      <c r="B14" s="33" t="n">
        <f aca="false">Inputs!B15</f>
        <v>2500</v>
      </c>
    </row>
    <row r="15" customFormat="false" ht="15" hidden="false" customHeight="false" outlineLevel="0" collapsed="false">
      <c r="A15" s="30" t="s">
        <v>30</v>
      </c>
      <c r="B15" s="33" t="n">
        <f aca="false">Inputs!B16</f>
        <v>40000</v>
      </c>
    </row>
    <row r="16" customFormat="false" ht="15" hidden="false" customHeight="false" outlineLevel="0" collapsed="false">
      <c r="A16" s="30" t="s">
        <v>32</v>
      </c>
      <c r="B16" s="32" t="n">
        <f aca="false">Inputs!B17</f>
        <v>0.15</v>
      </c>
    </row>
    <row r="17" customFormat="false" ht="15" hidden="false" customHeight="false" outlineLevel="0" collapsed="false">
      <c r="A17" s="30" t="s">
        <v>34</v>
      </c>
      <c r="B17" s="32" t="n">
        <f aca="false">Inputs!B18</f>
        <v>0.05</v>
      </c>
    </row>
    <row r="18" customFormat="false" ht="15" hidden="false" customHeight="false" outlineLevel="0" collapsed="false">
      <c r="A18" s="30" t="s">
        <v>15</v>
      </c>
      <c r="B18" s="33" t="n">
        <f aca="false">Inputs!B19</f>
        <v>150000</v>
      </c>
    </row>
    <row r="19" customFormat="false" ht="15" hidden="false" customHeight="false" outlineLevel="0" collapsed="false">
      <c r="A19" s="30" t="s">
        <v>36</v>
      </c>
      <c r="B19" s="32" t="n">
        <f aca="false">Inputs!B20</f>
        <v>0.1</v>
      </c>
    </row>
    <row r="20" customFormat="false" ht="15" hidden="false" customHeight="false" outlineLevel="0" collapsed="false">
      <c r="A20" s="30" t="s">
        <v>38</v>
      </c>
      <c r="B20" s="33" t="n">
        <f aca="false">Inputs!B21</f>
        <v>30000</v>
      </c>
    </row>
    <row r="21" customFormat="false" ht="15" hidden="false" customHeight="false" outlineLevel="0" collapsed="false">
      <c r="A21" s="30" t="s">
        <v>40</v>
      </c>
      <c r="B21" s="32" t="n">
        <f aca="false">Inputs!B22</f>
        <v>0.05</v>
      </c>
    </row>
    <row r="22" customFormat="false" ht="15" hidden="false" customHeight="false" outlineLevel="0" collapsed="false">
      <c r="A22" s="30" t="s">
        <v>42</v>
      </c>
      <c r="B22" s="32" t="n">
        <f aca="false">Inputs!B23</f>
        <v>0.21</v>
      </c>
    </row>
    <row r="23" customFormat="false" ht="15" hidden="false" customHeight="false" outlineLevel="0" collapsed="false">
      <c r="A23" s="17" t="s">
        <v>44</v>
      </c>
      <c r="B23" s="18"/>
      <c r="C23" s="18"/>
    </row>
    <row r="24" customFormat="false" ht="15" hidden="false" customHeight="false" outlineLevel="0" collapsed="false">
      <c r="A24" s="30" t="s">
        <v>45</v>
      </c>
      <c r="B24" s="31" t="n">
        <f aca="false">Inputs!B25</f>
        <v>0</v>
      </c>
    </row>
    <row r="25" customFormat="false" ht="15" hidden="false" customHeight="false" outlineLevel="0" collapsed="false">
      <c r="A25" s="30" t="s">
        <v>47</v>
      </c>
      <c r="B25" s="31" t="n">
        <f aca="false">Inputs!B26</f>
        <v>2</v>
      </c>
    </row>
    <row r="26" customFormat="false" ht="15" hidden="false" customHeight="false" outlineLevel="0" collapsed="false">
      <c r="A26" s="30" t="s">
        <v>49</v>
      </c>
      <c r="B26" s="31" t="n">
        <f aca="false">Inputs!B27</f>
        <v>4</v>
      </c>
    </row>
    <row r="27" customFormat="false" ht="15" hidden="false" customHeight="false" outlineLevel="0" collapsed="false">
      <c r="A27" s="30" t="s">
        <v>51</v>
      </c>
      <c r="B27" s="32" t="n">
        <f aca="false">Inputs!B28</f>
        <v>0.3</v>
      </c>
    </row>
    <row r="28" customFormat="false" ht="15" hidden="false" customHeight="false" outlineLevel="0" collapsed="false">
      <c r="A28" s="30" t="s">
        <v>53</v>
      </c>
      <c r="B28" s="33" t="n">
        <f aca="false">Inputs!B29</f>
        <v>15000</v>
      </c>
    </row>
    <row r="29" customFormat="false" ht="15" hidden="false" customHeight="false" outlineLevel="0" collapsed="false">
      <c r="A29" s="30" t="s">
        <v>55</v>
      </c>
      <c r="B29" s="32" t="n">
        <f aca="false">Inputs!B30</f>
        <v>0.95</v>
      </c>
    </row>
    <row r="30" customFormat="false" ht="15" hidden="false" customHeight="false" outlineLevel="0" collapsed="false">
      <c r="A30" s="30" t="s">
        <v>57</v>
      </c>
      <c r="B30" s="33" t="n">
        <f aca="false">Inputs!B31</f>
        <v>2000</v>
      </c>
    </row>
    <row r="31" customFormat="false" ht="15" hidden="false" customHeight="false" outlineLevel="0" collapsed="false">
      <c r="A31" s="17" t="s">
        <v>98</v>
      </c>
      <c r="B31" s="18"/>
      <c r="C31" s="18"/>
    </row>
    <row r="32" customFormat="false" ht="15" hidden="false" customHeight="false" outlineLevel="0" collapsed="false">
      <c r="A32" s="30" t="s">
        <v>60</v>
      </c>
      <c r="B32" s="31" t="n">
        <f aca="false">Inputs!B33</f>
        <v>0</v>
      </c>
    </row>
    <row r="33" customFormat="false" ht="15" hidden="false" customHeight="false" outlineLevel="0" collapsed="false">
      <c r="A33" s="30" t="s">
        <v>62</v>
      </c>
      <c r="B33" s="31" t="n">
        <f aca="false">Inputs!B34</f>
        <v>3</v>
      </c>
    </row>
    <row r="34" customFormat="false" ht="15" hidden="false" customHeight="false" outlineLevel="0" collapsed="false">
      <c r="A34" s="30" t="s">
        <v>64</v>
      </c>
      <c r="B34" s="31" t="n">
        <f aca="false">Inputs!B35</f>
        <v>3</v>
      </c>
    </row>
    <row r="35" customFormat="false" ht="15" hidden="false" customHeight="false" outlineLevel="0" collapsed="false">
      <c r="A35" s="30" t="s">
        <v>66</v>
      </c>
      <c r="B35" s="32" t="n">
        <f aca="false">Inputs!B36</f>
        <v>0.3</v>
      </c>
    </row>
    <row r="36" customFormat="false" ht="15" hidden="false" customHeight="false" outlineLevel="0" collapsed="false">
      <c r="A36" s="30" t="s">
        <v>68</v>
      </c>
      <c r="B36" s="33" t="n">
        <f aca="false">Inputs!B37</f>
        <v>1500000</v>
      </c>
    </row>
    <row r="37" customFormat="false" ht="15" hidden="false" customHeight="false" outlineLevel="0" collapsed="false">
      <c r="A37" s="30" t="s">
        <v>70</v>
      </c>
      <c r="B37" s="32" t="n">
        <f aca="false">Inputs!B38</f>
        <v>0.03</v>
      </c>
    </row>
    <row r="38" customFormat="false" ht="15" hidden="false" customHeight="false" outlineLevel="0" collapsed="false">
      <c r="A38" s="30" t="s">
        <v>72</v>
      </c>
      <c r="B38" s="32" t="n">
        <f aca="false">Inputs!B39</f>
        <v>0.95</v>
      </c>
    </row>
    <row r="39" customFormat="false" ht="15" hidden="false" customHeight="false" outlineLevel="0" collapsed="false">
      <c r="A39" s="30" t="s">
        <v>74</v>
      </c>
      <c r="B39" s="33" t="n">
        <f aca="false">Inputs!B40</f>
        <v>8000</v>
      </c>
    </row>
    <row r="40" customFormat="false" ht="15" hidden="false" customHeight="false" outlineLevel="0" collapsed="false">
      <c r="A40" s="17" t="s">
        <v>99</v>
      </c>
      <c r="B40" s="18"/>
      <c r="C40" s="18"/>
    </row>
    <row r="41" customFormat="false" ht="15" hidden="false" customHeight="false" outlineLevel="0" collapsed="false">
      <c r="A41" s="30" t="s">
        <v>77</v>
      </c>
      <c r="B41" s="31" t="n">
        <f aca="false">Inputs!B42</f>
        <v>0</v>
      </c>
    </row>
    <row r="42" customFormat="false" ht="15" hidden="false" customHeight="false" outlineLevel="0" collapsed="false">
      <c r="A42" s="30" t="s">
        <v>79</v>
      </c>
      <c r="B42" s="31" t="n">
        <f aca="false">Inputs!B43</f>
        <v>2</v>
      </c>
    </row>
    <row r="43" customFormat="false" ht="15" hidden="false" customHeight="false" outlineLevel="0" collapsed="false">
      <c r="A43" s="30" t="s">
        <v>80</v>
      </c>
      <c r="B43" s="31" t="n">
        <f aca="false">Inputs!B44</f>
        <v>25</v>
      </c>
    </row>
    <row r="44" customFormat="false" ht="15" hidden="false" customHeight="false" outlineLevel="0" collapsed="false">
      <c r="A44" s="30" t="s">
        <v>82</v>
      </c>
      <c r="B44" s="32" t="n">
        <f aca="false">Inputs!B45</f>
        <v>0.4</v>
      </c>
    </row>
    <row r="45" customFormat="false" ht="15" hidden="false" customHeight="false" outlineLevel="0" collapsed="false">
      <c r="A45" s="30" t="s">
        <v>84</v>
      </c>
      <c r="B45" s="33" t="n">
        <f aca="false">Inputs!B46</f>
        <v>3500</v>
      </c>
    </row>
    <row r="46" customFormat="false" ht="15" hidden="false" customHeight="false" outlineLevel="0" collapsed="false">
      <c r="A46" s="30" t="s">
        <v>86</v>
      </c>
      <c r="B46" s="32" t="n">
        <f aca="false">Inputs!B47</f>
        <v>0.15</v>
      </c>
    </row>
    <row r="47" customFormat="false" ht="15" hidden="false" customHeight="false" outlineLevel="0" collapsed="false">
      <c r="A47" s="30" t="s">
        <v>88</v>
      </c>
      <c r="B47" s="32" t="n">
        <f aca="false">Inputs!B48</f>
        <v>0.9</v>
      </c>
    </row>
    <row r="48" customFormat="false" ht="15" hidden="false" customHeight="false" outlineLevel="0" collapsed="false">
      <c r="A48" s="30" t="s">
        <v>90</v>
      </c>
      <c r="B48" s="33" t="n">
        <f aca="false">Inputs!B49</f>
        <v>250</v>
      </c>
    </row>
    <row r="49" customFormat="false" ht="15" hidden="false" customHeight="false" outlineLevel="0" collapsed="false">
      <c r="A49" s="30" t="s">
        <v>92</v>
      </c>
      <c r="B49" s="33" t="n">
        <f aca="false">Inputs!B50</f>
        <v>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8.55" hidden="false" customHeight="false" outlineLevel="0" collapsed="false">
      <c r="A1" s="34" t="s">
        <v>100</v>
      </c>
    </row>
    <row r="2" customFormat="false" ht="15" hidden="false" customHeight="false" outlineLevel="0" collapsed="false">
      <c r="A2" s="35" t="s">
        <v>101</v>
      </c>
    </row>
    <row r="4" customFormat="false" ht="15" hidden="false" customHeight="false" outlineLevel="0" collapsed="false">
      <c r="A4" s="36" t="s">
        <v>102</v>
      </c>
      <c r="B4" s="37" t="s">
        <v>103</v>
      </c>
      <c r="C4" s="37" t="s">
        <v>104</v>
      </c>
      <c r="D4" s="37" t="s">
        <v>105</v>
      </c>
      <c r="E4" s="37" t="s">
        <v>106</v>
      </c>
      <c r="F4" s="37" t="s">
        <v>107</v>
      </c>
    </row>
    <row r="5" customFormat="false" ht="15" hidden="false" customHeight="false" outlineLevel="0" collapsed="false">
      <c r="A5" s="38" t="s">
        <v>108</v>
      </c>
      <c r="B5" s="18"/>
      <c r="C5" s="18"/>
      <c r="D5" s="18"/>
      <c r="E5" s="18"/>
      <c r="F5" s="18"/>
    </row>
    <row r="6" customFormat="false" ht="15" hidden="false" customHeight="false" outlineLevel="0" collapsed="false">
      <c r="A6" s="30" t="s">
        <v>109</v>
      </c>
      <c r="B6" s="39" t="n">
        <f aca="false">Assumptions!$B$6</f>
        <v>20</v>
      </c>
      <c r="C6" s="39" t="n">
        <f aca="false">B6*(1+Assumptions!$B$7)</f>
        <v>23</v>
      </c>
      <c r="D6" s="39" t="n">
        <f aca="false">C6*(1+Assumptions!$B$7)</f>
        <v>26.45</v>
      </c>
      <c r="E6" s="39" t="n">
        <f aca="false">D6*(1+Assumptions!$B$7)</f>
        <v>30.4175</v>
      </c>
      <c r="F6" s="39" t="n">
        <f aca="false">E6*(1+Assumptions!$B$7)</f>
        <v>34.980125</v>
      </c>
    </row>
    <row r="7" customFormat="false" ht="15" hidden="false" customHeight="false" outlineLevel="0" collapsed="false">
      <c r="A7" s="30" t="s">
        <v>110</v>
      </c>
      <c r="B7" s="40" t="n">
        <f aca="false">Assumptions!$B$8</f>
        <v>120000</v>
      </c>
      <c r="C7" s="40" t="n">
        <f aca="false">B7*(1+Assumptions!$B$9)</f>
        <v>123600</v>
      </c>
      <c r="D7" s="40" t="n">
        <f aca="false">C7*(1+Assumptions!$B$9)</f>
        <v>127308</v>
      </c>
      <c r="E7" s="40" t="n">
        <f aca="false">D7*(1+Assumptions!$B$9)</f>
        <v>131127.24</v>
      </c>
      <c r="F7" s="40" t="n">
        <f aca="false">E7*(1+Assumptions!$B$9)</f>
        <v>135061.0572</v>
      </c>
    </row>
    <row r="9" customFormat="false" ht="15" hidden="false" customHeight="false" outlineLevel="0" collapsed="false">
      <c r="A9" s="38" t="s">
        <v>111</v>
      </c>
      <c r="B9" s="18"/>
      <c r="C9" s="18"/>
      <c r="D9" s="18"/>
      <c r="E9" s="18"/>
      <c r="F9" s="18"/>
    </row>
    <row r="10" customFormat="false" ht="15" hidden="false" customHeight="false" outlineLevel="0" collapsed="false">
      <c r="A10" s="30" t="s">
        <v>112</v>
      </c>
      <c r="B10" s="40" t="n">
        <f aca="false">B6*MAX(B7*Assumptions!$B$10,Assumptions!$B$12)*Assumptions!$B$11</f>
        <v>114000</v>
      </c>
      <c r="C10" s="40" t="n">
        <f aca="false">C6*MAX(C7*Assumptions!$B$10,Assumptions!$B$12)*Assumptions!$B$11</f>
        <v>131100</v>
      </c>
      <c r="D10" s="40" t="n">
        <f aca="false">D6*MAX(D7*Assumptions!$B$10,Assumptions!$B$12)*Assumptions!$B$11</f>
        <v>150765</v>
      </c>
      <c r="E10" s="40" t="n">
        <f aca="false">E6*MAX(E7*Assumptions!$B$10,Assumptions!$B$12)*Assumptions!$B$11</f>
        <v>173379.75</v>
      </c>
      <c r="F10" s="40" t="n">
        <f aca="false">F6*MAX(F7*Assumptions!$B$10,Assumptions!$B$12)*Assumptions!$B$11</f>
        <v>199386.7125</v>
      </c>
    </row>
    <row r="11" customFormat="false" ht="15" hidden="false" customHeight="false" outlineLevel="0" collapsed="false">
      <c r="A11" s="30" t="s">
        <v>113</v>
      </c>
      <c r="B11" s="39" t="n">
        <f aca="false">IF(AND(Assumptions!$B$24=1,1&gt;=Assumptions!$B$25),Assumptions!$B$26*(1+Assumptions!$B$27)^(1-Assumptions!$B$25),0)</f>
        <v>0</v>
      </c>
      <c r="C11" s="39" t="n">
        <f aca="false">IF(AND(Assumptions!$B$24=1,2&gt;=Assumptions!$B$25),Assumptions!$B$26*(1+Assumptions!$B$27)^(2-Assumptions!$B$25),0)</f>
        <v>0</v>
      </c>
      <c r="D11" s="39" t="n">
        <f aca="false">IF(AND(Assumptions!$B$24=1,3&gt;=Assumptions!$B$25),Assumptions!$B$26*(1+Assumptions!$B$27)^(3-Assumptions!$B$25),0)</f>
        <v>0</v>
      </c>
      <c r="E11" s="39" t="n">
        <f aca="false">IF(AND(Assumptions!$B$24=1,4&gt;=Assumptions!$B$25),Assumptions!$B$26*(1+Assumptions!$B$27)^(4-Assumptions!$B$25),0)</f>
        <v>0</v>
      </c>
      <c r="F11" s="39" t="n">
        <f aca="false">IF(AND(Assumptions!$B$24=1,5&gt;=Assumptions!$B$25),Assumptions!$B$26*(1+Assumptions!$B$27)^(5-Assumptions!$B$25),0)</f>
        <v>0</v>
      </c>
    </row>
    <row r="12" customFormat="false" ht="15" hidden="false" customHeight="false" outlineLevel="0" collapsed="false">
      <c r="A12" s="30" t="s">
        <v>114</v>
      </c>
      <c r="B12" s="40" t="n">
        <f aca="false">B11*Assumptions!$B$28*Assumptions!$B$29</f>
        <v>0</v>
      </c>
      <c r="C12" s="40" t="n">
        <f aca="false">C11*Assumptions!$B$28*Assumptions!$B$29</f>
        <v>0</v>
      </c>
      <c r="D12" s="40" t="n">
        <f aca="false">D11*Assumptions!$B$28*Assumptions!$B$29</f>
        <v>0</v>
      </c>
      <c r="E12" s="40" t="n">
        <f aca="false">E11*Assumptions!$B$28*Assumptions!$B$29</f>
        <v>0</v>
      </c>
      <c r="F12" s="40" t="n">
        <f aca="false">F11*Assumptions!$B$28*Assumptions!$B$29</f>
        <v>0</v>
      </c>
    </row>
    <row r="13" customFormat="false" ht="15" hidden="false" customHeight="false" outlineLevel="0" collapsed="false">
      <c r="A13" s="30" t="s">
        <v>115</v>
      </c>
      <c r="B13" s="39" t="n">
        <f aca="false">IF(AND(Assumptions!$B$32=1,1&gt;=Assumptions!$B$33),Assumptions!$B$34*(1+Assumptions!$B$35)^(1-Assumptions!$B$33),0)</f>
        <v>0</v>
      </c>
      <c r="C13" s="39" t="n">
        <f aca="false">IF(AND(Assumptions!$B$32=1,2&gt;=Assumptions!$B$33),Assumptions!$B$34*(1+Assumptions!$B$35)^(2-Assumptions!$B$33),0)</f>
        <v>0</v>
      </c>
      <c r="D13" s="39" t="n">
        <f aca="false">IF(AND(Assumptions!$B$32=1,3&gt;=Assumptions!$B$33),Assumptions!$B$34*(1+Assumptions!$B$35)^(3-Assumptions!$B$33),0)</f>
        <v>0</v>
      </c>
      <c r="E13" s="39" t="n">
        <f aca="false">IF(AND(Assumptions!$B$32=1,4&gt;=Assumptions!$B$33),Assumptions!$B$34*(1+Assumptions!$B$35)^(4-Assumptions!$B$33),0)</f>
        <v>0</v>
      </c>
      <c r="F13" s="39" t="n">
        <f aca="false">IF(AND(Assumptions!$B$32=1,5&gt;=Assumptions!$B$33),Assumptions!$B$34*(1+Assumptions!$B$35)^(5-Assumptions!$B$33),0)</f>
        <v>0</v>
      </c>
    </row>
    <row r="14" customFormat="false" ht="15" hidden="false" customHeight="false" outlineLevel="0" collapsed="false">
      <c r="A14" s="30" t="s">
        <v>116</v>
      </c>
      <c r="B14" s="40" t="n">
        <f aca="false">B13*Assumptions!$B$36*Assumptions!$B$37*Assumptions!$B$38</f>
        <v>0</v>
      </c>
      <c r="C14" s="40" t="n">
        <f aca="false">C13*Assumptions!$B$36*Assumptions!$B$37*Assumptions!$B$38</f>
        <v>0</v>
      </c>
      <c r="D14" s="40" t="n">
        <f aca="false">D13*Assumptions!$B$36*Assumptions!$B$37*Assumptions!$B$38</f>
        <v>0</v>
      </c>
      <c r="E14" s="40" t="n">
        <f aca="false">E13*Assumptions!$B$36*Assumptions!$B$37*Assumptions!$B$38</f>
        <v>0</v>
      </c>
      <c r="F14" s="40" t="n">
        <f aca="false">F13*Assumptions!$B$36*Assumptions!$B$37*Assumptions!$B$38</f>
        <v>0</v>
      </c>
    </row>
    <row r="15" customFormat="false" ht="15" hidden="false" customHeight="false" outlineLevel="0" collapsed="false">
      <c r="A15" s="30" t="s">
        <v>117</v>
      </c>
      <c r="B15" s="39" t="n">
        <f aca="false">IF(AND(Assumptions!$B$41=1,1&gt;=Assumptions!$B$42),Assumptions!$B$43*(1+Assumptions!$B$44)^(1-Assumptions!$B$42),0)</f>
        <v>0</v>
      </c>
      <c r="C15" s="39" t="n">
        <f aca="false">IF(AND(Assumptions!$B$41=1,2&gt;=Assumptions!$B$42),Assumptions!$B$43*(1+Assumptions!$B$44)^(2-Assumptions!$B$42),0)</f>
        <v>0</v>
      </c>
      <c r="D15" s="39" t="n">
        <f aca="false">IF(AND(Assumptions!$B$41=1,3&gt;=Assumptions!$B$42),Assumptions!$B$43*(1+Assumptions!$B$44)^(3-Assumptions!$B$42),0)</f>
        <v>0</v>
      </c>
      <c r="E15" s="39" t="n">
        <f aca="false">IF(AND(Assumptions!$B$41=1,4&gt;=Assumptions!$B$42),Assumptions!$B$43*(1+Assumptions!$B$44)^(4-Assumptions!$B$42),0)</f>
        <v>0</v>
      </c>
      <c r="F15" s="39" t="n">
        <f aca="false">IF(AND(Assumptions!$B$41=1,5&gt;=Assumptions!$B$42),Assumptions!$B$43*(1+Assumptions!$B$44)^(5-Assumptions!$B$42),0)</f>
        <v>0</v>
      </c>
    </row>
    <row r="16" customFormat="false" ht="15" hidden="false" customHeight="false" outlineLevel="0" collapsed="false">
      <c r="A16" s="30" t="s">
        <v>118</v>
      </c>
      <c r="B16" s="40" t="n">
        <f aca="false">B15*Assumptions!$B$45*Assumptions!$B$46*Assumptions!$B$47</f>
        <v>0</v>
      </c>
      <c r="C16" s="40" t="n">
        <f aca="false">C15*Assumptions!$B$45*Assumptions!$B$46*Assumptions!$B$47</f>
        <v>0</v>
      </c>
      <c r="D16" s="40" t="n">
        <f aca="false">D15*Assumptions!$B$45*Assumptions!$B$46*Assumptions!$B$47</f>
        <v>0</v>
      </c>
      <c r="E16" s="40" t="n">
        <f aca="false">E15*Assumptions!$B$45*Assumptions!$B$46*Assumptions!$B$47</f>
        <v>0</v>
      </c>
      <c r="F16" s="40" t="n">
        <f aca="false">F15*Assumptions!$B$45*Assumptions!$B$46*Assumptions!$B$47</f>
        <v>0</v>
      </c>
    </row>
    <row r="17" customFormat="false" ht="15" hidden="false" customHeight="false" outlineLevel="0" collapsed="false">
      <c r="A17" s="41" t="s">
        <v>119</v>
      </c>
      <c r="B17" s="42" t="n">
        <f aca="false">B10+B12+B14+B16</f>
        <v>114000</v>
      </c>
      <c r="C17" s="42" t="n">
        <f aca="false">C10+C12+C14+C16</f>
        <v>131100</v>
      </c>
      <c r="D17" s="42" t="n">
        <f aca="false">D10+D12+D14+D16</f>
        <v>150765</v>
      </c>
      <c r="E17" s="42" t="n">
        <f aca="false">E10+E12+E14+E16</f>
        <v>173379.75</v>
      </c>
      <c r="F17" s="42" t="n">
        <f aca="false">F10+F12+F14+F16</f>
        <v>199386.7125</v>
      </c>
    </row>
    <row r="19" customFormat="false" ht="15" hidden="false" customHeight="false" outlineLevel="0" collapsed="false">
      <c r="A19" s="38" t="s">
        <v>120</v>
      </c>
      <c r="B19" s="18"/>
      <c r="C19" s="18"/>
      <c r="D19" s="18"/>
      <c r="E19" s="18"/>
      <c r="F19" s="18"/>
    </row>
    <row r="20" customFormat="false" ht="15" hidden="false" customHeight="false" outlineLevel="0" collapsed="false">
      <c r="A20" s="30" t="s">
        <v>121</v>
      </c>
      <c r="B20" s="40" t="n">
        <f aca="false">B6*Assumptions!$B$14</f>
        <v>50000</v>
      </c>
      <c r="C20" s="40" t="n">
        <f aca="false">C6*Assumptions!$B$14</f>
        <v>57500</v>
      </c>
      <c r="D20" s="40" t="n">
        <f aca="false">D6*Assumptions!$B$14</f>
        <v>66125</v>
      </c>
      <c r="E20" s="40" t="n">
        <f aca="false">E6*Assumptions!$B$14</f>
        <v>76043.75</v>
      </c>
      <c r="F20" s="40" t="n">
        <f aca="false">F6*Assumptions!$B$14</f>
        <v>87450.3125</v>
      </c>
    </row>
    <row r="21" customFormat="false" ht="15" hidden="false" customHeight="false" outlineLevel="0" collapsed="false">
      <c r="A21" s="30" t="s">
        <v>122</v>
      </c>
      <c r="B21" s="40" t="n">
        <f aca="false">Assumptions!$B$15</f>
        <v>40000</v>
      </c>
      <c r="C21" s="40" t="n">
        <f aca="false">B21*(1+Assumptions!$B$16)</f>
        <v>46000</v>
      </c>
      <c r="D21" s="40" t="n">
        <f aca="false">C21*(1+Assumptions!$B$16)</f>
        <v>52900</v>
      </c>
      <c r="E21" s="40" t="n">
        <f aca="false">D21*(1+Assumptions!$B$16)</f>
        <v>60835</v>
      </c>
      <c r="F21" s="40" t="n">
        <f aca="false">E21*(1+Assumptions!$B$16)</f>
        <v>69960.25</v>
      </c>
    </row>
    <row r="22" customFormat="false" ht="15" hidden="false" customHeight="false" outlineLevel="0" collapsed="false">
      <c r="A22" s="30" t="s">
        <v>123</v>
      </c>
      <c r="B22" s="40" t="n">
        <f aca="false">B17*Assumptions!$B$17</f>
        <v>5700</v>
      </c>
      <c r="C22" s="40" t="n">
        <f aca="false">C17*Assumptions!$B$17</f>
        <v>6555</v>
      </c>
      <c r="D22" s="40" t="n">
        <f aca="false">D17*Assumptions!$B$17</f>
        <v>7538.25</v>
      </c>
      <c r="E22" s="40" t="n">
        <f aca="false">E17*Assumptions!$B$17</f>
        <v>8668.9875</v>
      </c>
      <c r="F22" s="40" t="n">
        <f aca="false">F17*Assumptions!$B$17</f>
        <v>9969.335625</v>
      </c>
    </row>
    <row r="23" customFormat="false" ht="15" hidden="false" customHeight="false" outlineLevel="0" collapsed="false">
      <c r="A23" s="30" t="s">
        <v>124</v>
      </c>
      <c r="B23" s="40" t="n">
        <f aca="false">Assumptions!$B$18</f>
        <v>150000</v>
      </c>
      <c r="C23" s="40" t="n">
        <f aca="false">B23*(1+Assumptions!$B$19)</f>
        <v>165000</v>
      </c>
      <c r="D23" s="40" t="n">
        <f aca="false">C23*(1+Assumptions!$B$19)</f>
        <v>181500</v>
      </c>
      <c r="E23" s="40" t="n">
        <f aca="false">D23*(1+Assumptions!$B$19)</f>
        <v>199650</v>
      </c>
      <c r="F23" s="40" t="n">
        <f aca="false">E23*(1+Assumptions!$B$19)</f>
        <v>219615</v>
      </c>
    </row>
    <row r="24" customFormat="false" ht="15" hidden="false" customHeight="false" outlineLevel="0" collapsed="false">
      <c r="A24" s="30" t="s">
        <v>125</v>
      </c>
      <c r="B24" s="40" t="n">
        <f aca="false">Assumptions!$B$20</f>
        <v>30000</v>
      </c>
      <c r="C24" s="40" t="n">
        <f aca="false">B24*(1+Assumptions!$B$21)</f>
        <v>31500</v>
      </c>
      <c r="D24" s="40" t="n">
        <f aca="false">C24*(1+Assumptions!$B$21)</f>
        <v>33075</v>
      </c>
      <c r="E24" s="40" t="n">
        <f aca="false">D24*(1+Assumptions!$B$21)</f>
        <v>34728.75</v>
      </c>
      <c r="F24" s="40" t="n">
        <f aca="false">E24*(1+Assumptions!$B$21)</f>
        <v>36465.1875</v>
      </c>
    </row>
    <row r="25" customFormat="false" ht="15" hidden="false" customHeight="false" outlineLevel="0" collapsed="false">
      <c r="A25" s="30" t="s">
        <v>126</v>
      </c>
      <c r="B25" s="40" t="n">
        <f aca="false">B11*Assumptions!$B$30</f>
        <v>0</v>
      </c>
      <c r="C25" s="40" t="n">
        <f aca="false">C11*Assumptions!$B$30</f>
        <v>0</v>
      </c>
      <c r="D25" s="40" t="n">
        <f aca="false">D11*Assumptions!$B$30</f>
        <v>0</v>
      </c>
      <c r="E25" s="40" t="n">
        <f aca="false">E11*Assumptions!$B$30</f>
        <v>0</v>
      </c>
      <c r="F25" s="40" t="n">
        <f aca="false">F11*Assumptions!$B$30</f>
        <v>0</v>
      </c>
    </row>
    <row r="26" customFormat="false" ht="15" hidden="false" customHeight="false" outlineLevel="0" collapsed="false">
      <c r="A26" s="30" t="s">
        <v>127</v>
      </c>
      <c r="B26" s="40" t="n">
        <f aca="false">B13*Assumptions!$B$39</f>
        <v>0</v>
      </c>
      <c r="C26" s="40" t="n">
        <f aca="false">C13*Assumptions!$B$39</f>
        <v>0</v>
      </c>
      <c r="D26" s="40" t="n">
        <f aca="false">D13*Assumptions!$B$39</f>
        <v>0</v>
      </c>
      <c r="E26" s="40" t="n">
        <f aca="false">E13*Assumptions!$B$39</f>
        <v>0</v>
      </c>
      <c r="F26" s="40" t="n">
        <f aca="false">F13*Assumptions!$B$39</f>
        <v>0</v>
      </c>
    </row>
    <row r="27" customFormat="false" ht="15" hidden="false" customHeight="false" outlineLevel="0" collapsed="false">
      <c r="A27" s="30" t="s">
        <v>128</v>
      </c>
      <c r="B27" s="40" t="n">
        <f aca="false">B15*Assumptions!$B$48+IF(B15&gt;0,Assumptions!$B$49,0)</f>
        <v>0</v>
      </c>
      <c r="C27" s="40" t="n">
        <f aca="false">C15*Assumptions!$B$48+IF(C15&gt;0,Assumptions!$B$49,0)</f>
        <v>0</v>
      </c>
      <c r="D27" s="40" t="n">
        <f aca="false">D15*Assumptions!$B$48+IF(D15&gt;0,Assumptions!$B$49,0)</f>
        <v>0</v>
      </c>
      <c r="E27" s="40" t="n">
        <f aca="false">E15*Assumptions!$B$48+IF(E15&gt;0,Assumptions!$B$49,0)</f>
        <v>0</v>
      </c>
      <c r="F27" s="40" t="n">
        <f aca="false">F15*Assumptions!$B$48+IF(F15&gt;0,Assumptions!$B$49,0)</f>
        <v>0</v>
      </c>
    </row>
    <row r="28" customFormat="false" ht="15" hidden="false" customHeight="false" outlineLevel="0" collapsed="false">
      <c r="A28" s="41" t="s">
        <v>129</v>
      </c>
      <c r="B28" s="42" t="n">
        <f aca="false">SUM(B20:B27)</f>
        <v>275700</v>
      </c>
      <c r="C28" s="42" t="n">
        <f aca="false">SUM(C20:C27)</f>
        <v>306555</v>
      </c>
      <c r="D28" s="42" t="n">
        <f aca="false">SUM(D20:D27)</f>
        <v>341138.25</v>
      </c>
      <c r="E28" s="42" t="n">
        <f aca="false">SUM(E20:E27)</f>
        <v>379926.4875</v>
      </c>
      <c r="F28" s="42" t="n">
        <f aca="false">SUM(F20:F27)</f>
        <v>423460.085625</v>
      </c>
    </row>
    <row r="30" customFormat="false" ht="15" hidden="false" customHeight="false" outlineLevel="0" collapsed="false">
      <c r="A30" s="38" t="s">
        <v>130</v>
      </c>
      <c r="B30" s="18"/>
      <c r="C30" s="18"/>
      <c r="D30" s="18"/>
      <c r="E30" s="18"/>
      <c r="F30" s="18"/>
    </row>
    <row r="31" customFormat="false" ht="15" hidden="false" customHeight="false" outlineLevel="0" collapsed="false">
      <c r="A31" s="43" t="s">
        <v>131</v>
      </c>
      <c r="B31" s="44" t="n">
        <f aca="false">B17-B28</f>
        <v>-161700</v>
      </c>
      <c r="C31" s="44" t="n">
        <f aca="false">C17-C28</f>
        <v>-175455</v>
      </c>
      <c r="D31" s="44" t="n">
        <f aca="false">D17-D28</f>
        <v>-190373.25</v>
      </c>
      <c r="E31" s="44" t="n">
        <f aca="false">E17-E28</f>
        <v>-206546.7375</v>
      </c>
      <c r="F31" s="44" t="n">
        <f aca="false">F17-F28</f>
        <v>-224073.373125</v>
      </c>
    </row>
    <row r="32" customFormat="false" ht="15" hidden="false" customHeight="false" outlineLevel="0" collapsed="false">
      <c r="A32" s="30" t="s">
        <v>132</v>
      </c>
      <c r="B32" s="45" t="n">
        <f aca="false">IF(B17=0,0,B31/B17)</f>
        <v>-1.41842105263158</v>
      </c>
      <c r="C32" s="45" t="n">
        <f aca="false">IF(C17=0,0,C31/C17)</f>
        <v>-1.3383295194508</v>
      </c>
      <c r="D32" s="45" t="n">
        <f aca="false">IF(D17=0,0,D31/D17)</f>
        <v>-1.26271515272112</v>
      </c>
      <c r="E32" s="45" t="n">
        <f aca="false">IF(E17=0,0,E31/E17)</f>
        <v>-1.19129677773789</v>
      </c>
      <c r="F32" s="45" t="n">
        <f aca="false">IF(F17=0,0,F31/F17)</f>
        <v>-1.12381296785261</v>
      </c>
    </row>
    <row r="33" customFormat="false" ht="15" hidden="false" customHeight="false" outlineLevel="0" collapsed="false">
      <c r="A33" s="30" t="s">
        <v>133</v>
      </c>
      <c r="B33" s="40" t="n">
        <f aca="false">MAX(0,B31)*Assumptions!$B$22</f>
        <v>0</v>
      </c>
      <c r="C33" s="40" t="n">
        <f aca="false">MAX(0,C31)*Assumptions!$B$22</f>
        <v>0</v>
      </c>
      <c r="D33" s="40" t="n">
        <f aca="false">MAX(0,D31)*Assumptions!$B$22</f>
        <v>0</v>
      </c>
      <c r="E33" s="40" t="n">
        <f aca="false">MAX(0,E31)*Assumptions!$B$22</f>
        <v>0</v>
      </c>
      <c r="F33" s="40" t="n">
        <f aca="false">MAX(0,F31)*Assumptions!$B$22</f>
        <v>0</v>
      </c>
    </row>
    <row r="34" customFormat="false" ht="15" hidden="false" customHeight="false" outlineLevel="0" collapsed="false">
      <c r="A34" s="46" t="s">
        <v>134</v>
      </c>
      <c r="B34" s="47" t="n">
        <f aca="false">B31-B33</f>
        <v>-161700</v>
      </c>
      <c r="C34" s="47" t="n">
        <f aca="false">C31-C33</f>
        <v>-175455</v>
      </c>
      <c r="D34" s="47" t="n">
        <f aca="false">D31-D33</f>
        <v>-190373.25</v>
      </c>
      <c r="E34" s="47" t="n">
        <f aca="false">E31-E33</f>
        <v>-206546.7375</v>
      </c>
      <c r="F34" s="47" t="n">
        <f aca="false">F31-F33</f>
        <v>-224073.373125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8.55" hidden="false" customHeight="false" outlineLevel="0" collapsed="false">
      <c r="A1" s="34" t="s">
        <v>135</v>
      </c>
    </row>
    <row r="2" customFormat="false" ht="15" hidden="false" customHeight="false" outlineLevel="0" collapsed="false">
      <c r="A2" s="3" t="s">
        <v>136</v>
      </c>
    </row>
    <row r="4" customFormat="false" ht="15" hidden="false" customHeight="false" outlineLevel="0" collapsed="false">
      <c r="A4" s="48" t="s">
        <v>137</v>
      </c>
      <c r="B4" s="49" t="n">
        <f aca="false">'Proforma P&amp;L'!F17</f>
        <v>199386.7125</v>
      </c>
    </row>
    <row r="5" customFormat="false" ht="15" hidden="false" customHeight="false" outlineLevel="0" collapsed="false">
      <c r="A5" s="48" t="s">
        <v>138</v>
      </c>
      <c r="B5" s="49" t="n">
        <f aca="false">'Proforma P&amp;L'!F31</f>
        <v>-224073.373125</v>
      </c>
    </row>
    <row r="6" customFormat="false" ht="15" hidden="false" customHeight="false" outlineLevel="0" collapsed="false">
      <c r="A6" s="48" t="s">
        <v>139</v>
      </c>
      <c r="B6" s="50" t="n">
        <f aca="false">'Proforma P&amp;L'!F32</f>
        <v>-1.12381296785261</v>
      </c>
    </row>
    <row r="7" customFormat="false" ht="15" hidden="false" customHeight="false" outlineLevel="0" collapsed="false">
      <c r="A7" s="48" t="s">
        <v>140</v>
      </c>
      <c r="B7" s="49" t="n">
        <f aca="false">'Proforma P&amp;L'!F34</f>
        <v>-224073.373125</v>
      </c>
    </row>
    <row r="8" customFormat="false" ht="15" hidden="false" customHeight="false" outlineLevel="0" collapsed="false">
      <c r="A8" s="48" t="s">
        <v>141</v>
      </c>
      <c r="B8" s="51" t="n">
        <f aca="false">'Proforma P&amp;L'!F6</f>
        <v>34.980125</v>
      </c>
    </row>
    <row r="9" customFormat="false" ht="15" hidden="false" customHeight="false" outlineLevel="0" collapsed="false">
      <c r="A9" s="48" t="s">
        <v>142</v>
      </c>
      <c r="B9" s="49" t="n">
        <f aca="false">SUM('Proforma P&amp;L'!B34:F34)</f>
        <v>-958148.360625</v>
      </c>
    </row>
    <row r="10" customFormat="false" ht="15" hidden="false" customHeight="false" outlineLevel="0" collapsed="false">
      <c r="A10" s="48" t="s">
        <v>143</v>
      </c>
      <c r="B10" s="49" t="n">
        <f aca="false">'Proforma P&amp;L'!F10</f>
        <v>199386.7125</v>
      </c>
    </row>
    <row r="11" customFormat="false" ht="15" hidden="false" customHeight="false" outlineLevel="0" collapsed="false">
      <c r="A11" s="48" t="s">
        <v>144</v>
      </c>
      <c r="B11" s="49" t="n">
        <f aca="false">'Proforma P&amp;L'!F12</f>
        <v>0</v>
      </c>
    </row>
    <row r="12" customFormat="false" ht="15" hidden="false" customHeight="false" outlineLevel="0" collapsed="false">
      <c r="A12" s="48" t="s">
        <v>145</v>
      </c>
      <c r="B12" s="49" t="n">
        <f aca="false">'Proforma P&amp;L'!F14</f>
        <v>0</v>
      </c>
    </row>
    <row r="13" customFormat="false" ht="15" hidden="false" customHeight="false" outlineLevel="0" collapsed="false">
      <c r="A13" s="48" t="s">
        <v>146</v>
      </c>
      <c r="B13" s="49" t="n">
        <f aca="false">'Proforma P&amp;L'!F16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2026-10-07T18:17:32Z</dcterms:created>
  <dc:creator>openpyxl</dc:creator>
  <dc:description/>
  <dc:language>en-US</dc:language>
  <cp:lastModifiedBy/>
  <dcterms:modified xsi:type="dcterms:W3CDTF">2026-10-07T18:18:31Z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